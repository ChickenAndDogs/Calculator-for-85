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oon\Documents\카카오톡 받은 파일\"/>
    </mc:Choice>
  </mc:AlternateContent>
  <xr:revisionPtr revIDLastSave="0" documentId="13_ncr:1_{5548DE61-A31A-492E-B0AB-2B56E0ED41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저항 전력 계산" sheetId="7" r:id="rId1"/>
    <sheet name="Interpolation" sheetId="12" r:id="rId2"/>
    <sheet name="dB 계산" sheetId="9" r:id="rId3"/>
    <sheet name="오차율계산" sheetId="5" r:id="rId4"/>
    <sheet name="TSL" sheetId="3" r:id="rId5"/>
    <sheet name="Sheet1" sheetId="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F11" i="7"/>
  <c r="I20" i="7"/>
  <c r="J20" i="7"/>
  <c r="I19" i="7"/>
  <c r="J19" i="7"/>
  <c r="I18" i="7"/>
  <c r="J18" i="7"/>
  <c r="I17" i="7"/>
  <c r="J17" i="7"/>
  <c r="I16" i="7"/>
  <c r="J16" i="7"/>
  <c r="I15" i="7"/>
  <c r="J15" i="7"/>
  <c r="I14" i="7"/>
  <c r="J14" i="7"/>
  <c r="I13" i="7"/>
  <c r="J13" i="7"/>
  <c r="I12" i="7"/>
  <c r="J12" i="7"/>
  <c r="E11" i="7"/>
  <c r="J11" i="7"/>
  <c r="I10" i="7"/>
  <c r="J10" i="7"/>
  <c r="I9" i="7"/>
  <c r="J9" i="7"/>
  <c r="F20" i="7"/>
  <c r="F19" i="7"/>
  <c r="F18" i="7"/>
  <c r="F17" i="7"/>
  <c r="F16" i="7"/>
  <c r="F15" i="7"/>
  <c r="F14" i="7"/>
  <c r="F13" i="7"/>
  <c r="F12" i="7"/>
  <c r="F10" i="7"/>
  <c r="B10" i="12"/>
  <c r="B3" i="11"/>
  <c r="B6" i="9"/>
  <c r="I7" i="7"/>
  <c r="J7" i="7"/>
  <c r="I6" i="7"/>
  <c r="J6" i="7"/>
  <c r="I5" i="7"/>
  <c r="J5" i="7"/>
  <c r="I4" i="7"/>
  <c r="J4" i="7"/>
  <c r="I8" i="7"/>
  <c r="J8" i="7"/>
  <c r="F9" i="7"/>
  <c r="F8" i="7"/>
  <c r="F7" i="7"/>
  <c r="F5" i="7"/>
  <c r="F4" i="7"/>
  <c r="F6" i="7"/>
  <c r="E21" i="7"/>
  <c r="E20" i="7"/>
  <c r="E19" i="7"/>
  <c r="E18" i="7"/>
  <c r="E17" i="7"/>
  <c r="E16" i="7"/>
  <c r="E15" i="7"/>
  <c r="E14" i="7"/>
  <c r="E13" i="7"/>
  <c r="E12" i="7"/>
  <c r="E10" i="7"/>
  <c r="E9" i="7"/>
  <c r="E8" i="7"/>
  <c r="E7" i="7"/>
  <c r="E6" i="7"/>
  <c r="E5" i="7"/>
  <c r="E4" i="7"/>
  <c r="E4" i="5"/>
  <c r="E3" i="5"/>
  <c r="B2" i="3"/>
  <c r="B3" i="3"/>
  <c r="B5" i="3"/>
  <c r="B7" i="3"/>
  <c r="B9" i="3"/>
</calcChain>
</file>

<file path=xl/sharedStrings.xml><?xml version="1.0" encoding="utf-8"?>
<sst xmlns="http://schemas.openxmlformats.org/spreadsheetml/2006/main" count="40" uniqueCount="40">
  <si>
    <t>P</t>
  </si>
  <si>
    <t>W</t>
  </si>
  <si>
    <t>TS</t>
  </si>
  <si>
    <t>TSL</t>
  </si>
  <si>
    <t>TS&lt;=TSL</t>
  </si>
  <si>
    <t>4.7.13</t>
  </si>
  <si>
    <t>4.7.12</t>
  </si>
  <si>
    <t>절차(3325B)</t>
  </si>
  <si>
    <t>4.7.9</t>
  </si>
  <si>
    <t>4.7.11</t>
  </si>
  <si>
    <t>수식입력</t>
  </si>
  <si>
    <t>T(명목값)</t>
  </si>
  <si>
    <t>M(측정값)</t>
  </si>
  <si>
    <t>ch1</t>
  </si>
  <si>
    <t>오차율(%)</t>
  </si>
  <si>
    <t>1 M DC 1 kHz</t>
  </si>
  <si>
    <t>1 M DC 100 kHz</t>
  </si>
  <si>
    <t>저항값</t>
  </si>
  <si>
    <t>Range</t>
  </si>
  <si>
    <t>1k</t>
  </si>
  <si>
    <t>10k</t>
  </si>
  <si>
    <t>100k</t>
  </si>
  <si>
    <t>전류값(A)</t>
  </si>
  <si>
    <t>허용 W 수</t>
  </si>
  <si>
    <t>허용전류</t>
  </si>
  <si>
    <t>사용 전압(Vrms)</t>
  </si>
  <si>
    <t>사용 전류</t>
  </si>
  <si>
    <t>사용가능 여부</t>
  </si>
  <si>
    <t>20log(V1/V2)</t>
  </si>
  <si>
    <t>V1</t>
  </si>
  <si>
    <t>V2</t>
  </si>
  <si>
    <t>dB환산</t>
  </si>
  <si>
    <t>주파수</t>
  </si>
  <si>
    <t>dB</t>
  </si>
  <si>
    <t>f1</t>
  </si>
  <si>
    <t>cf1</t>
  </si>
  <si>
    <t>f2</t>
  </si>
  <si>
    <t>cf2</t>
  </si>
  <si>
    <t>cfx</t>
  </si>
  <si>
    <t>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</si>
</sst>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92F1-2279-3646-84A6-D1FD2C5E02F5}">
  <dimension ref="A3:J21"/>
  <sheetViews>
    <sheetView tabSelected="1" topLeftCell="E1" zoomScaleNormal="60" zoomScaleSheetLayoutView="100" workbookViewId="0">
      <selection activeCell="N10" sqref="N10"/>
    </sheetView>
  </sheetViews>
  <sheetFormatPr defaultRowHeight="16.5" x14ac:dyDescent="0.3"/>
  <cols>
    <col min="2" max="2" width="8.75" bestFit="1" customWidth="1"/>
    <col min="4" max="4" width="8.75" bestFit="1" customWidth="1"/>
    <col min="8" max="8" width="14.5" bestFit="1" customWidth="1"/>
    <col min="10" max="10" width="12.625" bestFit="1" customWidth="1"/>
  </cols>
  <sheetData>
    <row r="3" spans="1:10" x14ac:dyDescent="0.3">
      <c r="B3" t="s">
        <v>18</v>
      </c>
      <c r="C3" t="s">
        <v>22</v>
      </c>
      <c r="D3" t="s">
        <v>17</v>
      </c>
      <c r="E3" t="s">
        <v>24</v>
      </c>
      <c r="F3" t="s">
        <v>23</v>
      </c>
      <c r="H3" t="s">
        <v>25</v>
      </c>
      <c r="I3" t="s">
        <v>26</v>
      </c>
      <c r="J3" t="s">
        <v>27</v>
      </c>
    </row>
    <row r="4" spans="1:10" x14ac:dyDescent="0.3">
      <c r="B4">
        <v>1</v>
      </c>
      <c r="C4">
        <v>5</v>
      </c>
      <c r="D4" s="3"/>
      <c r="E4">
        <f>D4/B4*C4</f>
        <v>0</v>
      </c>
      <c r="F4">
        <f t="shared" ref="F4:F5" si="0">E4*E4*D4</f>
        <v>0</v>
      </c>
      <c r="H4" s="3">
        <v>5</v>
      </c>
      <c r="I4" t="e">
        <f t="shared" ref="I4:I7" si="1">H4/D4</f>
        <v>#DIV/0!</v>
      </c>
      <c r="J4" t="e">
        <f t="shared" ref="J4:J7" si="2">IF(I4&lt;=E4,"사용 가능","사용 불가")</f>
        <v>#DIV/0!</v>
      </c>
    </row>
    <row r="5" spans="1:10" x14ac:dyDescent="0.3">
      <c r="B5">
        <v>10</v>
      </c>
      <c r="C5">
        <v>1.5</v>
      </c>
      <c r="D5" s="3"/>
      <c r="E5">
        <f t="shared" ref="E5:E21" si="3">D5/B5*C5</f>
        <v>0</v>
      </c>
      <c r="F5">
        <f t="shared" si="0"/>
        <v>0</v>
      </c>
      <c r="H5" s="3">
        <v>5</v>
      </c>
      <c r="I5" t="e">
        <f t="shared" si="1"/>
        <v>#DIV/0!</v>
      </c>
      <c r="J5" t="e">
        <f t="shared" si="2"/>
        <v>#DIV/0!</v>
      </c>
    </row>
    <row r="6" spans="1:10" x14ac:dyDescent="0.3">
      <c r="B6">
        <v>100</v>
      </c>
      <c r="C6">
        <v>0.5</v>
      </c>
      <c r="D6" s="3">
        <v>600</v>
      </c>
      <c r="E6">
        <f t="shared" si="3"/>
        <v>3</v>
      </c>
      <c r="F6">
        <f>E6*E6*D6</f>
        <v>5400</v>
      </c>
      <c r="H6" s="3">
        <v>42.5</v>
      </c>
      <c r="I6">
        <f t="shared" si="1"/>
        <v>7.0833333333333331E-2</v>
      </c>
      <c r="J6" t="str">
        <f t="shared" si="2"/>
        <v>사용 가능</v>
      </c>
    </row>
    <row r="7" spans="1:10" x14ac:dyDescent="0.3">
      <c r="A7" t="s">
        <v>19</v>
      </c>
      <c r="B7">
        <v>1000</v>
      </c>
      <c r="C7">
        <v>0.15</v>
      </c>
      <c r="D7" s="3"/>
      <c r="E7">
        <f t="shared" si="3"/>
        <v>0</v>
      </c>
      <c r="F7">
        <f t="shared" ref="F7:F20" si="4">E7*E7*D7</f>
        <v>0</v>
      </c>
      <c r="H7" s="3">
        <v>5</v>
      </c>
      <c r="I7" t="e">
        <f t="shared" si="1"/>
        <v>#DIV/0!</v>
      </c>
      <c r="J7" t="e">
        <f t="shared" si="2"/>
        <v>#DIV/0!</v>
      </c>
    </row>
    <row r="8" spans="1:10" x14ac:dyDescent="0.3">
      <c r="A8" t="s">
        <v>20</v>
      </c>
      <c r="B8">
        <v>10000</v>
      </c>
      <c r="C8">
        <v>0.05</v>
      </c>
      <c r="D8" s="3">
        <v>10000</v>
      </c>
      <c r="E8">
        <f t="shared" si="3"/>
        <v>0.05</v>
      </c>
      <c r="F8">
        <f t="shared" si="4"/>
        <v>25.000000000000004</v>
      </c>
      <c r="H8" s="3">
        <v>5</v>
      </c>
      <c r="I8">
        <f>H8/D8</f>
        <v>5.0000000000000001E-4</v>
      </c>
      <c r="J8" t="str">
        <f>IF(I8&lt;=E8,"사용 가능","사용 불가")</f>
        <v>사용 가능</v>
      </c>
    </row>
    <row r="9" spans="1:10" x14ac:dyDescent="0.3">
      <c r="A9" t="s">
        <v>21</v>
      </c>
      <c r="B9">
        <v>100000</v>
      </c>
      <c r="C9">
        <v>5.0000000000000001E-3</v>
      </c>
      <c r="D9" s="3"/>
      <c r="E9">
        <f t="shared" si="3"/>
        <v>0</v>
      </c>
      <c r="F9">
        <f t="shared" si="4"/>
        <v>0</v>
      </c>
      <c r="H9" s="3">
        <v>5</v>
      </c>
      <c r="I9" t="e">
        <f t="shared" ref="I9" si="5">H9/D9</f>
        <v>#DIV/0!</v>
      </c>
      <c r="J9" t="e">
        <f t="shared" ref="J9" si="6">IF(I9&lt;=E9,"사용 가능","사용 불가")</f>
        <v>#DIV/0!</v>
      </c>
    </row>
    <row r="10" spans="1:10" x14ac:dyDescent="0.3">
      <c r="E10" t="e">
        <f t="shared" si="3"/>
        <v>#DIV/0!</v>
      </c>
      <c r="F10" t="e">
        <f t="shared" si="4"/>
        <v>#DIV/0!</v>
      </c>
      <c r="H10" s="3">
        <v>5</v>
      </c>
      <c r="I10" t="e">
        <f t="shared" ref="I10:I20" si="7">H10/D10</f>
        <v>#DIV/0!</v>
      </c>
      <c r="J10" t="e">
        <f t="shared" ref="J10:J20" si="8">IF(I10&lt;=E10,"사용 가능","사용 불가")</f>
        <v>#DIV/0!</v>
      </c>
    </row>
    <row r="11" spans="1:10" x14ac:dyDescent="0.3">
      <c r="A11" t="s">
        <v>39</v>
      </c>
      <c r="B11">
        <v>100</v>
      </c>
      <c r="C11">
        <v>0.08</v>
      </c>
      <c r="D11">
        <v>100</v>
      </c>
      <c r="E11">
        <f>D11/B11*C11</f>
        <v>0.08</v>
      </c>
      <c r="F11">
        <f>E11*E11*D11</f>
        <v>0.64</v>
      </c>
      <c r="H11" s="3">
        <v>2.5</v>
      </c>
      <c r="I11">
        <f>H11/D11</f>
        <v>2.5000000000000001E-2</v>
      </c>
      <c r="J11" t="str">
        <f t="shared" si="8"/>
        <v>사용 가능</v>
      </c>
    </row>
    <row r="12" spans="1:10" x14ac:dyDescent="0.3">
      <c r="E12" t="e">
        <f t="shared" si="3"/>
        <v>#DIV/0!</v>
      </c>
      <c r="F12" t="e">
        <f t="shared" si="4"/>
        <v>#DIV/0!</v>
      </c>
      <c r="H12" s="3">
        <v>5</v>
      </c>
      <c r="I12" t="e">
        <f t="shared" si="7"/>
        <v>#DIV/0!</v>
      </c>
      <c r="J12" t="e">
        <f t="shared" si="8"/>
        <v>#DIV/0!</v>
      </c>
    </row>
    <row r="13" spans="1:10" x14ac:dyDescent="0.3">
      <c r="E13" t="e">
        <f t="shared" si="3"/>
        <v>#DIV/0!</v>
      </c>
      <c r="F13" t="e">
        <f t="shared" si="4"/>
        <v>#DIV/0!</v>
      </c>
      <c r="H13" s="3">
        <v>5</v>
      </c>
      <c r="I13" t="e">
        <f t="shared" si="7"/>
        <v>#DIV/0!</v>
      </c>
      <c r="J13" t="e">
        <f t="shared" si="8"/>
        <v>#DIV/0!</v>
      </c>
    </row>
    <row r="14" spans="1:10" x14ac:dyDescent="0.3">
      <c r="E14" t="e">
        <f t="shared" si="3"/>
        <v>#DIV/0!</v>
      </c>
      <c r="F14" t="e">
        <f t="shared" si="4"/>
        <v>#DIV/0!</v>
      </c>
      <c r="H14" s="3">
        <v>5</v>
      </c>
      <c r="I14" t="e">
        <f t="shared" si="7"/>
        <v>#DIV/0!</v>
      </c>
      <c r="J14" t="e">
        <f t="shared" si="8"/>
        <v>#DIV/0!</v>
      </c>
    </row>
    <row r="15" spans="1:10" x14ac:dyDescent="0.3">
      <c r="E15" t="e">
        <f t="shared" si="3"/>
        <v>#DIV/0!</v>
      </c>
      <c r="F15" t="e">
        <f t="shared" si="4"/>
        <v>#DIV/0!</v>
      </c>
      <c r="H15" s="3">
        <v>5</v>
      </c>
      <c r="I15" t="e">
        <f t="shared" si="7"/>
        <v>#DIV/0!</v>
      </c>
      <c r="J15" t="e">
        <f t="shared" si="8"/>
        <v>#DIV/0!</v>
      </c>
    </row>
    <row r="16" spans="1:10" x14ac:dyDescent="0.3">
      <c r="E16" t="e">
        <f t="shared" si="3"/>
        <v>#DIV/0!</v>
      </c>
      <c r="F16" t="e">
        <f t="shared" si="4"/>
        <v>#DIV/0!</v>
      </c>
      <c r="H16" s="3">
        <v>5</v>
      </c>
      <c r="I16" t="e">
        <f t="shared" si="7"/>
        <v>#DIV/0!</v>
      </c>
      <c r="J16" t="e">
        <f t="shared" si="8"/>
        <v>#DIV/0!</v>
      </c>
    </row>
    <row r="17" spans="5:10" x14ac:dyDescent="0.3">
      <c r="E17" t="e">
        <f t="shared" si="3"/>
        <v>#DIV/0!</v>
      </c>
      <c r="F17" t="e">
        <f t="shared" si="4"/>
        <v>#DIV/0!</v>
      </c>
      <c r="H17" s="3">
        <v>5</v>
      </c>
      <c r="I17" t="e">
        <f t="shared" si="7"/>
        <v>#DIV/0!</v>
      </c>
      <c r="J17" t="e">
        <f t="shared" si="8"/>
        <v>#DIV/0!</v>
      </c>
    </row>
    <row r="18" spans="5:10" x14ac:dyDescent="0.3">
      <c r="E18" t="e">
        <f t="shared" si="3"/>
        <v>#DIV/0!</v>
      </c>
      <c r="F18" t="e">
        <f t="shared" si="4"/>
        <v>#DIV/0!</v>
      </c>
      <c r="H18" s="3">
        <v>5</v>
      </c>
      <c r="I18" t="e">
        <f t="shared" si="7"/>
        <v>#DIV/0!</v>
      </c>
      <c r="J18" t="e">
        <f t="shared" si="8"/>
        <v>#DIV/0!</v>
      </c>
    </row>
    <row r="19" spans="5:10" x14ac:dyDescent="0.3">
      <c r="E19" t="e">
        <f t="shared" si="3"/>
        <v>#DIV/0!</v>
      </c>
      <c r="F19" t="e">
        <f t="shared" si="4"/>
        <v>#DIV/0!</v>
      </c>
      <c r="H19" s="3">
        <v>5</v>
      </c>
      <c r="I19" t="e">
        <f t="shared" si="7"/>
        <v>#DIV/0!</v>
      </c>
      <c r="J19" t="e">
        <f t="shared" si="8"/>
        <v>#DIV/0!</v>
      </c>
    </row>
    <row r="20" spans="5:10" x14ac:dyDescent="0.3">
      <c r="E20" t="e">
        <f t="shared" si="3"/>
        <v>#DIV/0!</v>
      </c>
      <c r="F20" t="e">
        <f t="shared" si="4"/>
        <v>#DIV/0!</v>
      </c>
      <c r="H20" s="3">
        <v>5</v>
      </c>
      <c r="I20" t="e">
        <f t="shared" si="7"/>
        <v>#DIV/0!</v>
      </c>
      <c r="J20" t="e">
        <f t="shared" si="8"/>
        <v>#DIV/0!</v>
      </c>
    </row>
    <row r="21" spans="5:10" x14ac:dyDescent="0.3">
      <c r="E21" t="e">
        <f t="shared" si="3"/>
        <v>#DIV/0!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6D50-561D-4B4D-9087-D0858EAC30EB}">
  <dimension ref="A5:B10"/>
  <sheetViews>
    <sheetView zoomScaleNormal="60" zoomScaleSheetLayoutView="100" workbookViewId="0">
      <selection activeCell="B10" sqref="B10"/>
    </sheetView>
  </sheetViews>
  <sheetFormatPr defaultRowHeight="16.5" x14ac:dyDescent="0.3"/>
  <sheetData>
    <row r="5" spans="1:2" x14ac:dyDescent="0.3">
      <c r="A5" t="s">
        <v>32</v>
      </c>
      <c r="B5">
        <v>200</v>
      </c>
    </row>
    <row r="6" spans="1:2" x14ac:dyDescent="0.3">
      <c r="A6" t="s">
        <v>34</v>
      </c>
      <c r="B6">
        <v>100</v>
      </c>
    </row>
    <row r="7" spans="1:2" x14ac:dyDescent="0.3">
      <c r="A7" t="s">
        <v>35</v>
      </c>
      <c r="B7">
        <v>99.31</v>
      </c>
    </row>
    <row r="8" spans="1:2" x14ac:dyDescent="0.3">
      <c r="A8" t="s">
        <v>36</v>
      </c>
      <c r="B8">
        <v>300</v>
      </c>
    </row>
    <row r="9" spans="1:2" x14ac:dyDescent="0.3">
      <c r="A9" t="s">
        <v>37</v>
      </c>
      <c r="B9">
        <v>98.97</v>
      </c>
    </row>
    <row r="10" spans="1:2" x14ac:dyDescent="0.3">
      <c r="A10" t="s">
        <v>38</v>
      </c>
      <c r="B10" s="3">
        <f>((B5-B6)*(B9-B7)/(B8-B6))+B7</f>
        <v>99.14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3A81-ADA2-0D41-9443-198E760EC90F}">
  <dimension ref="A2:B6"/>
  <sheetViews>
    <sheetView zoomScaleNormal="60" zoomScaleSheetLayoutView="100" workbookViewId="0">
      <selection activeCell="B5" sqref="B5"/>
    </sheetView>
  </sheetViews>
  <sheetFormatPr defaultRowHeight="16.5" x14ac:dyDescent="0.3"/>
  <cols>
    <col min="2" max="2" width="11.375" bestFit="1" customWidth="1"/>
  </cols>
  <sheetData>
    <row r="2" spans="1:2" x14ac:dyDescent="0.3">
      <c r="A2" t="s">
        <v>28</v>
      </c>
    </row>
    <row r="4" spans="1:2" x14ac:dyDescent="0.3">
      <c r="A4" t="s">
        <v>29</v>
      </c>
      <c r="B4">
        <v>0.99555000000000005</v>
      </c>
    </row>
    <row r="5" spans="1:2" x14ac:dyDescent="0.3">
      <c r="A5" t="s">
        <v>30</v>
      </c>
      <c r="B5">
        <v>9.8924999999999999E-2</v>
      </c>
    </row>
    <row r="6" spans="1:2" x14ac:dyDescent="0.3">
      <c r="A6" t="s">
        <v>31</v>
      </c>
      <c r="B6">
        <f>20*LOG10(B4/B5)</f>
        <v>20.055140355193174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2655-D86B-9F49-8192-CA93C626507D}">
  <dimension ref="A2:E4"/>
  <sheetViews>
    <sheetView topLeftCell="B1" zoomScaleNormal="60" zoomScaleSheetLayoutView="100" workbookViewId="0">
      <selection activeCell="E7" sqref="E7"/>
    </sheetView>
  </sheetViews>
  <sheetFormatPr defaultRowHeight="16.5" x14ac:dyDescent="0.3"/>
  <cols>
    <col min="2" max="2" width="14.5" bestFit="1" customWidth="1"/>
    <col min="5" max="5" width="12.25" bestFit="1" customWidth="1"/>
  </cols>
  <sheetData>
    <row r="2" spans="1:5" x14ac:dyDescent="0.3">
      <c r="C2" t="s">
        <v>12</v>
      </c>
      <c r="D2" t="s">
        <v>11</v>
      </c>
      <c r="E2" t="s">
        <v>14</v>
      </c>
    </row>
    <row r="3" spans="1:5" x14ac:dyDescent="0.3">
      <c r="A3" t="s">
        <v>13</v>
      </c>
      <c r="B3" t="s">
        <v>15</v>
      </c>
      <c r="C3">
        <v>1.76912</v>
      </c>
      <c r="D3">
        <v>1.7691749999999999</v>
      </c>
      <c r="E3">
        <f>(C3-D3)/D3*100</f>
        <v>-3.1087936467515216E-3</v>
      </c>
    </row>
    <row r="4" spans="1:5" x14ac:dyDescent="0.3">
      <c r="B4" t="s">
        <v>16</v>
      </c>
      <c r="C4">
        <v>1.7309000000000001</v>
      </c>
      <c r="D4">
        <v>1.76711</v>
      </c>
      <c r="E4">
        <f>(C4-D4)/D4*100</f>
        <v>-2.0491084312804442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9CDC-F741-6441-850C-69F7AF20C6B4}">
  <dimension ref="A1:C9"/>
  <sheetViews>
    <sheetView zoomScaleNormal="60" zoomScaleSheetLayoutView="100" workbookViewId="0">
      <selection activeCell="B2" sqref="B2"/>
    </sheetView>
  </sheetViews>
  <sheetFormatPr defaultRowHeight="16.5" x14ac:dyDescent="0.3"/>
  <cols>
    <col min="2" max="2" width="12.375" bestFit="1" customWidth="1"/>
    <col min="3" max="3" width="13" bestFit="1" customWidth="1"/>
  </cols>
  <sheetData>
    <row r="1" spans="1:3" ht="17.25" thickBot="1" x14ac:dyDescent="0.35">
      <c r="A1" s="2" t="s">
        <v>10</v>
      </c>
      <c r="C1" t="s">
        <v>7</v>
      </c>
    </row>
    <row r="2" spans="1:3" x14ac:dyDescent="0.3">
      <c r="A2" s="1" t="s">
        <v>0</v>
      </c>
      <c r="B2">
        <f>0.99999998*10^(-6)</f>
        <v>9.9999997999999988E-7</v>
      </c>
      <c r="C2" t="s">
        <v>8</v>
      </c>
    </row>
    <row r="3" spans="1:3" x14ac:dyDescent="0.3">
      <c r="A3" s="1" t="s">
        <v>1</v>
      </c>
      <c r="B3">
        <f>0.499418*10^(-6)</f>
        <v>4.994179999999999E-7</v>
      </c>
      <c r="C3" t="s">
        <v>9</v>
      </c>
    </row>
    <row r="5" spans="1:3" x14ac:dyDescent="0.3">
      <c r="A5" t="s">
        <v>2</v>
      </c>
      <c r="B5">
        <f>(B2/2)-B3</f>
        <v>5.8199000000004133E-10</v>
      </c>
      <c r="C5" t="s">
        <v>6</v>
      </c>
    </row>
    <row r="7" spans="1:3" x14ac:dyDescent="0.3">
      <c r="A7" t="s">
        <v>3</v>
      </c>
      <c r="B7">
        <f>0.0002*B2+3*10^(-9)</f>
        <v>3.1999999960000003E-9</v>
      </c>
      <c r="C7" t="s">
        <v>5</v>
      </c>
    </row>
    <row r="9" spans="1:3" x14ac:dyDescent="0.3">
      <c r="A9" t="s">
        <v>4</v>
      </c>
      <c r="B9" t="str">
        <f>IF(B5&lt;=B7,"PASS","Fail")</f>
        <v>PASS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CCFF-B328-4E4B-8063-94547E5BB6B5}">
  <dimension ref="B2:C3"/>
  <sheetViews>
    <sheetView zoomScaleNormal="60" zoomScaleSheetLayoutView="100" workbookViewId="0">
      <selection activeCell="C3" sqref="C3"/>
    </sheetView>
  </sheetViews>
  <sheetFormatPr defaultRowHeight="16.5" x14ac:dyDescent="0.3"/>
  <cols>
    <col min="2" max="2" width="11.375" bestFit="1" customWidth="1"/>
  </cols>
  <sheetData>
    <row r="2" spans="2:3" x14ac:dyDescent="0.3">
      <c r="C2" t="s">
        <v>33</v>
      </c>
    </row>
    <row r="3" spans="2:3" x14ac:dyDescent="0.3">
      <c r="B3">
        <f>1000*SQRT(10^(-C3/10)*0.05)</f>
        <v>0.23438779971641738</v>
      </c>
      <c r="C3">
        <v>59.591000000000001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저항 전력 계산</vt:lpstr>
      <vt:lpstr>Interpolation</vt:lpstr>
      <vt:lpstr>dB 계산</vt:lpstr>
      <vt:lpstr>오차율계산</vt:lpstr>
      <vt:lpstr>TSL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세준 강</dc:creator>
  <cp:lastModifiedBy>Joon</cp:lastModifiedBy>
  <dcterms:created xsi:type="dcterms:W3CDTF">2025-08-27T10:37:00Z</dcterms:created>
  <dcterms:modified xsi:type="dcterms:W3CDTF">2026-02-28T11:10:40Z</dcterms:modified>
</cp:coreProperties>
</file>